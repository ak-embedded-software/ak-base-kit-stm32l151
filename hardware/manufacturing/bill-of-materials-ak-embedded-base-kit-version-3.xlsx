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ohoa\OneDrive\EPCB Hardware Design\08_DIY and Dev Projects\Dev Board\AK MCU KIT 2I3\02_Design_Files\Electronics\Project Outputs for AK MCU KIT 2I3\AK MCU KIT 2I3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Sheet1!$A$2:$L$47</definedName>
  </definedNames>
  <calcPr calcId="162913"/>
</workbook>
</file>

<file path=xl/calcChain.xml><?xml version="1.0" encoding="utf-8"?>
<calcChain xmlns="http://schemas.openxmlformats.org/spreadsheetml/2006/main">
  <c r="A47" i="1" l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 l="1"/>
  <c r="A3" i="1"/>
</calcChain>
</file>

<file path=xl/sharedStrings.xml><?xml version="1.0" encoding="utf-8"?>
<sst xmlns="http://schemas.openxmlformats.org/spreadsheetml/2006/main" count="416" uniqueCount="301">
  <si>
    <t>Link</t>
  </si>
  <si>
    <t>#</t>
  </si>
  <si>
    <t>AK MCU KIT 2I3.PrjPcb</t>
  </si>
  <si>
    <t>Comment</t>
  </si>
  <si>
    <t>CR1220-2ZX</t>
  </si>
  <si>
    <t>12pF</t>
  </si>
  <si>
    <t>1uF</t>
  </si>
  <si>
    <t>100nF</t>
  </si>
  <si>
    <t>4.7uF</t>
  </si>
  <si>
    <t>22nF</t>
  </si>
  <si>
    <t>100pF</t>
  </si>
  <si>
    <t>BAT54C,215</t>
  </si>
  <si>
    <t>NCD0603B4(LED_RED)</t>
  </si>
  <si>
    <t>NCD0603B4(LED_BLUE)</t>
  </si>
  <si>
    <t>DSK34</t>
  </si>
  <si>
    <t>TPUSBLC6-2P6</t>
  </si>
  <si>
    <t>SM712</t>
  </si>
  <si>
    <t>BSMD0603L-150</t>
  </si>
  <si>
    <t>TYPE-C 16PIN 2MD(073)</t>
  </si>
  <si>
    <t>FPC 0.5-24P HYH2.0</t>
  </si>
  <si>
    <t>SM04B-SRSS-TB(LF)(SN)</t>
  </si>
  <si>
    <t>PM200-2-05-S-4.3</t>
  </si>
  <si>
    <t>MLT-8530</t>
  </si>
  <si>
    <t>10uH</t>
  </si>
  <si>
    <t>MMBT3904</t>
  </si>
  <si>
    <t>MMBT3906LT1G</t>
  </si>
  <si>
    <t>10k</t>
  </si>
  <si>
    <t>22R</t>
  </si>
  <si>
    <t>0OHM</t>
  </si>
  <si>
    <t>1k</t>
  </si>
  <si>
    <t>100R</t>
  </si>
  <si>
    <t>5.1k</t>
  </si>
  <si>
    <t>120R</t>
  </si>
  <si>
    <t>10R</t>
  </si>
  <si>
    <t>22k</t>
  </si>
  <si>
    <t>121k</t>
  </si>
  <si>
    <t>13k3</t>
  </si>
  <si>
    <t>0R</t>
  </si>
  <si>
    <t>910k</t>
  </si>
  <si>
    <t>TS-1102S-B-G-B</t>
  </si>
  <si>
    <t>STM32L151CBT6A</t>
  </si>
  <si>
    <t>W25Q80DVSNIG TR</t>
  </si>
  <si>
    <t>PCF85063ATT/AJ</t>
  </si>
  <si>
    <t>RT9193-33GB</t>
  </si>
  <si>
    <t>CH340E</t>
  </si>
  <si>
    <t>SP3485EN-L/TR</t>
  </si>
  <si>
    <t>TPS61040DBVR</t>
  </si>
  <si>
    <t>8Mhz</t>
  </si>
  <si>
    <t>32.768K</t>
  </si>
  <si>
    <t>Designator</t>
  </si>
  <si>
    <t>BT1</t>
  </si>
  <si>
    <t>C1, C2</t>
  </si>
  <si>
    <t>C3, C8, C16, C17, C31</t>
  </si>
  <si>
    <t>C4, C5, C6, C7, C9, C10, C12, C13, C14, C15, C21, C26, C28, C33, C34</t>
  </si>
  <si>
    <t>C11, C18, C19, C25, C27, C30, C32</t>
  </si>
  <si>
    <t>C20</t>
  </si>
  <si>
    <t>C29, C35, C36, C37, C38</t>
  </si>
  <si>
    <t>D1</t>
  </si>
  <si>
    <t>D2, D7</t>
  </si>
  <si>
    <t>D3, D8</t>
  </si>
  <si>
    <t>D4, D9</t>
  </si>
  <si>
    <t>D5</t>
  </si>
  <si>
    <t>D6</t>
  </si>
  <si>
    <t>F1</t>
  </si>
  <si>
    <t>J1</t>
  </si>
  <si>
    <t>J2</t>
  </si>
  <si>
    <t>J4, J7, J10, J12, J15</t>
  </si>
  <si>
    <t>J6, J9</t>
  </si>
  <si>
    <t>L1</t>
  </si>
  <si>
    <t>L2</t>
  </si>
  <si>
    <t>Q1</t>
  </si>
  <si>
    <t>Q2, Q3</t>
  </si>
  <si>
    <t>R1, R3, R4, R5, R6, R7, R12, R13, R14, R15, R16, R17, R39</t>
  </si>
  <si>
    <t>R2</t>
  </si>
  <si>
    <t>R8</t>
  </si>
  <si>
    <t>R9, R10, R11, R28, R29, R30, R31</t>
  </si>
  <si>
    <t>R18, R19, R20, R36</t>
  </si>
  <si>
    <t>R21, R22</t>
  </si>
  <si>
    <t>R23</t>
  </si>
  <si>
    <t>R24, R25</t>
  </si>
  <si>
    <t>R26, R27</t>
  </si>
  <si>
    <t>R32</t>
  </si>
  <si>
    <t>R33</t>
  </si>
  <si>
    <t>R34, R37, R38</t>
  </si>
  <si>
    <t>R35</t>
  </si>
  <si>
    <t>S1, S2, S3, S4</t>
  </si>
  <si>
    <t>U1</t>
  </si>
  <si>
    <t>U2</t>
  </si>
  <si>
    <t>U3</t>
  </si>
  <si>
    <t>U4</t>
  </si>
  <si>
    <t>U6</t>
  </si>
  <si>
    <t>U7</t>
  </si>
  <si>
    <t>U8</t>
  </si>
  <si>
    <t>X1</t>
  </si>
  <si>
    <t>X2</t>
  </si>
  <si>
    <t>Footprint</t>
  </si>
  <si>
    <t>BAT_CR1220_SMD</t>
  </si>
  <si>
    <t>C_0402</t>
  </si>
  <si>
    <t>C_0603</t>
  </si>
  <si>
    <t>SOT-23-3_L2.9-W1.6-P1.90-LS2.8-BR</t>
  </si>
  <si>
    <t>LED0603-RD_RED</t>
  </si>
  <si>
    <t>LED0603-RD_BLUE</t>
  </si>
  <si>
    <t>SOD-123_L2.8-W1.8-LS3.7-RD</t>
  </si>
  <si>
    <t>SOT-666-6_L1.6-W1.2-P0.50-LS1.6-BL</t>
  </si>
  <si>
    <t>F0603</t>
  </si>
  <si>
    <t>USB-C-SMD_TYPE-C16PIN</t>
  </si>
  <si>
    <t>FPC-SMD_24P-P0.50_FPC-0.5-24P-HYH2.0</t>
  </si>
  <si>
    <t>CONN-SMD_4P-P1.00_SM04B-SRSS-TB-LF-SN</t>
  </si>
  <si>
    <t>HDR-SMD_10P-P2.00-V-F-R2-C5-LS6.5</t>
  </si>
  <si>
    <t>BUZ-SMD_4P-L8.5-W8.5-P8.50-BR</t>
  </si>
  <si>
    <t>IND-SMD_L4.4-W4.2</t>
  </si>
  <si>
    <t>SOT-23-3_L2.9-W1.3-P1.90-LS2.4-BR</t>
  </si>
  <si>
    <t>R_0402</t>
  </si>
  <si>
    <t>R_0603</t>
  </si>
  <si>
    <t>R_0805</t>
  </si>
  <si>
    <t>SW-SMD_4P-L6.0-W6.4-P4.50-LS8.6</t>
  </si>
  <si>
    <t>LQFP-48_L7.0-W7.0-P0.50-LS9.0-BL</t>
  </si>
  <si>
    <t>SOIC-8_L5.0-W4.0-P1.27-LS6.0-BL</t>
  </si>
  <si>
    <t>TSSOP-8_L3.0-W3.0-P0.65-LS4.9-BL</t>
  </si>
  <si>
    <t>SOT-23-5_L3.0-W1.7-P0.95-LS2.8-BR</t>
  </si>
  <si>
    <t>MSOP-10_L3.0-W3.0-P0.50-LS5.0-BL</t>
  </si>
  <si>
    <t>SOIC-8_3.9x4.9x1.27P</t>
  </si>
  <si>
    <t>SOT-23-5_L3.0-W1.7-P0.95-LS2.8-BL</t>
  </si>
  <si>
    <t>SMD-3225_4P</t>
  </si>
  <si>
    <t>SMD-3215_2P</t>
  </si>
  <si>
    <t>LCSC Part Number</t>
  </si>
  <si>
    <t>C969906</t>
  </si>
  <si>
    <t>C1547</t>
  </si>
  <si>
    <t>C15849</t>
  </si>
  <si>
    <t>C41851</t>
  </si>
  <si>
    <t>C19666</t>
  </si>
  <si>
    <t>C1532</t>
  </si>
  <si>
    <t>C1546</t>
  </si>
  <si>
    <t>C37704</t>
  </si>
  <si>
    <t>C89814</t>
  </si>
  <si>
    <t>C84263</t>
  </si>
  <si>
    <t>C41029</t>
  </si>
  <si>
    <t>C2682291</t>
  </si>
  <si>
    <t>C502564</t>
  </si>
  <si>
    <t>C914094</t>
  </si>
  <si>
    <t>C2765186</t>
  </si>
  <si>
    <t>C6364666</t>
  </si>
  <si>
    <t>C160404</t>
  </si>
  <si>
    <t>C3975169</t>
  </si>
  <si>
    <t>C94599</t>
  </si>
  <si>
    <t>C408339</t>
  </si>
  <si>
    <t>C20526</t>
  </si>
  <si>
    <t>C53444</t>
  </si>
  <si>
    <t>C25744</t>
  </si>
  <si>
    <t>C25092</t>
  </si>
  <si>
    <t>C21189</t>
  </si>
  <si>
    <t>C11702</t>
  </si>
  <si>
    <t>C25076</t>
  </si>
  <si>
    <t>C25941</t>
  </si>
  <si>
    <t>C22787</t>
  </si>
  <si>
    <t>C17415</t>
  </si>
  <si>
    <t>C25768</t>
  </si>
  <si>
    <t>C11693</t>
  </si>
  <si>
    <t>C274352</t>
  </si>
  <si>
    <t>C17168</t>
  </si>
  <si>
    <t>C163435</t>
  </si>
  <si>
    <t>C381064</t>
  </si>
  <si>
    <t>C604847</t>
  </si>
  <si>
    <t>C401655</t>
  </si>
  <si>
    <t>C165608</t>
  </si>
  <si>
    <t>C15651</t>
  </si>
  <si>
    <t>C8963</t>
  </si>
  <si>
    <t>C7722</t>
  </si>
  <si>
    <t>C133366</t>
  </si>
  <si>
    <t>C32346</t>
  </si>
  <si>
    <t>Manufacturer Part Number</t>
  </si>
  <si>
    <t>0402CG120J500NT</t>
  </si>
  <si>
    <t>CL10A105KB8NNNC</t>
  </si>
  <si>
    <t>0402B104K160NT</t>
  </si>
  <si>
    <t>CL10A475KO8NNNC</t>
  </si>
  <si>
    <t>0402B223K500NT</t>
  </si>
  <si>
    <t>0402CG101J500NT</t>
  </si>
  <si>
    <t>NCD0603B4</t>
  </si>
  <si>
    <t>NCD0603R1</t>
  </si>
  <si>
    <t>TYPE-C16PIN</t>
  </si>
  <si>
    <t>MWSA0402S-100MT</t>
  </si>
  <si>
    <t>0402WGF1002TCE</t>
  </si>
  <si>
    <t>0402WGF220JTCE</t>
  </si>
  <si>
    <t>0603WAF0000T5E</t>
  </si>
  <si>
    <t>0402WGF1001TCE</t>
  </si>
  <si>
    <t>0402WGF1000TCE</t>
  </si>
  <si>
    <t>0402WGJ0512TCE</t>
  </si>
  <si>
    <t>0603WAF1200T5E</t>
  </si>
  <si>
    <t>0805W8F100JT5E</t>
  </si>
  <si>
    <t>0402WGF2202TCE</t>
  </si>
  <si>
    <t>0402WGF1213TCE</t>
  </si>
  <si>
    <t>RC0402FR-0713K3L</t>
  </si>
  <si>
    <t>0402WGF0000TCE</t>
  </si>
  <si>
    <t>RC0402JR-07910KL</t>
  </si>
  <si>
    <t>TS-1102S-C-F-B</t>
  </si>
  <si>
    <t>1C208000CE0Q</t>
  </si>
  <si>
    <t>Q13FC13500004</t>
  </si>
  <si>
    <t>Manufacturer</t>
  </si>
  <si>
    <t>Q&amp;J</t>
  </si>
  <si>
    <t>FH (Guangdong Fenghua Advanced Tech)</t>
  </si>
  <si>
    <t>Samsung Electro-Mechanics</t>
  </si>
  <si>
    <t>FH(Guangdong Fenghua Advanced Tech)</t>
  </si>
  <si>
    <t>Nexperia</t>
  </si>
  <si>
    <t>Foshan NationStar Optoelectronics</t>
  </si>
  <si>
    <t>MDD（Microdiode Electronics)</t>
  </si>
  <si>
    <t>TECH PUBLIC(台舟)</t>
  </si>
  <si>
    <t>MDD（Microdiode Electronics）</t>
  </si>
  <si>
    <t>BHFUSE</t>
  </si>
  <si>
    <t>SHOU HAN</t>
  </si>
  <si>
    <t>SHOU HAN(首韩)</t>
  </si>
  <si>
    <t>JST</t>
  </si>
  <si>
    <t>HCTL(华灿天禄)</t>
  </si>
  <si>
    <t>Jiangsu Huaneng Elec</t>
  </si>
  <si>
    <t>Sunlord</t>
  </si>
  <si>
    <t>Changjiang Electronics Tech (CJ)</t>
  </si>
  <si>
    <t>ON Semicon</t>
  </si>
  <si>
    <t>Uniroyal Elec</t>
  </si>
  <si>
    <t>UNI-ROYAL(Uniroyal Elec)</t>
  </si>
  <si>
    <t>YAGEO</t>
  </si>
  <si>
    <t>XKB Connectivity</t>
  </si>
  <si>
    <t>STMicroelectronics</t>
  </si>
  <si>
    <t>Winbond(华邦)</t>
  </si>
  <si>
    <t>NXP</t>
  </si>
  <si>
    <t>Richtek Tech</t>
  </si>
  <si>
    <t>WCH(Jiangsu Qin Heng)</t>
  </si>
  <si>
    <t>MaxLinear</t>
  </si>
  <si>
    <t>Texas Instruments</t>
  </si>
  <si>
    <t>KDS Daishinku</t>
  </si>
  <si>
    <t>Seiko Epson</t>
  </si>
  <si>
    <t>Quantity</t>
  </si>
  <si>
    <t>Description</t>
  </si>
  <si>
    <t>SMD Battery Holders, Clips &amp; Contacts RoHS 1220 batteries</t>
  </si>
  <si>
    <t>12pF 50V C0G ±5% 0402 Multilayer Ceramic Capacitors MLCC - SMD/SMT ROHS</t>
  </si>
  <si>
    <t>1UF 50V 0603 ROHS</t>
  </si>
  <si>
    <t>100nF 16V X7R ±10% 0402 Multilayer Ceramic Capacitors MLCC - SMD/SMT ROH</t>
  </si>
  <si>
    <t>4.7UF 16V 0603 ROHS</t>
  </si>
  <si>
    <t>22nF 50V X7R ±10% 0402 Multilayer Ceramic Capacitors MLCC - SMD/SMT ROHS</t>
  </si>
  <si>
    <t>100pF 50V C0G ±5% 0402 Multilayer Ceramic Capacitors MLCC - SMD/SMT ROHS</t>
  </si>
  <si>
    <t>SCHOTTKY BARRIER DIODES (SBD) SOT-23(SOT-23-3) ROHS</t>
  </si>
  <si>
    <t>LED Red 0603 Light Emitting Diodes (LED) ROHS</t>
  </si>
  <si>
    <t>LED Blue 0603 Light Emitting Diodes (LED) ROHS</t>
  </si>
  <si>
    <t>DSK34 40V 550mV@3A 3A SOD-123 Schottky Barrier Diodes (SBD) ROHS Copy</t>
  </si>
  <si>
    <t>TPUSBLC6-2P6 0.8pF 100W@8/20us 16V 5A@8/20us 5V 6.5V 80nA IEC 61000-4-2 SOT-666-6 ESD and Surge Protection (TVS/ESD) ROHS</t>
  </si>
  <si>
    <t>TVS DIODE 12V 21V SOT23</t>
  </si>
  <si>
    <t>6V 1.5A 50A 1W -40℃~+85℃ 3A 5mΩ 500ms 55mΩ 0603</t>
  </si>
  <si>
    <t>5A 1 Surface Mount 16 Female -25℃~+85℃ Type-C SMD USB Connectors ROHS</t>
  </si>
  <si>
    <t>24P 2mm 50V Double-Sided Contacts, Top and Bottom Entry Hinged Lid Phosphor bronze Surface Mount, Right Angle Tin SMD,P=0.5mm,Surface Mount，Right Angle FFC, FPC (Flat Flexible) Connector Assemblies ROHS</t>
  </si>
  <si>
    <t>1x4P 2.9mm 4 4.32mm 4P 50V 6mm Auxiliary Solder Pin Copper alloy PA SH Surface Mount, Right Angle Tin UL94V-0 White SMD,P=1mm,Surface Mount，Right Angle Wire To Board Connector ROHS</t>
  </si>
  <si>
    <t>SMD,P=2mm Female Headers ROHS</t>
  </si>
  <si>
    <t>BUZZERS MAGNETIC NO 2700HZ 3.6V 2.5 ~ 4.5V 8.5MM X 8.5MM 8.5*8.5*3MM ROHS</t>
  </si>
  <si>
    <t>POWER INDUCTORS SMD,4.2X4.4X2.0MM ROHS</t>
  </si>
  <si>
    <t>MMBT3904 TRANSISTORS (NPN/PNP) NPN 200MA 40V SOT-23(SOT-23-3) ROHS</t>
  </si>
  <si>
    <t>MMBT3906 TRANSISTORS (NPN/PNP) PNP 200MA 40V SOT-23(SOT-23-3) ROHS</t>
  </si>
  <si>
    <t>10k 0402 62.5mW Thick Film Resistors 50V ±100ppm/℃ ±1% -55℃~+155℃</t>
  </si>
  <si>
    <t>22R 0402 62.5mW Thick Film Resistors 50V ±100ppm/℃ ±1% -55℃~+155℃</t>
  </si>
  <si>
    <t>0OHMS ±1% 1/10W 0603 ROHS</t>
  </si>
  <si>
    <t>1kΩ 0402 62.5mW Thick Film Resistors 50V ±100ppm/℃ ±1% -55℃~+155℃</t>
  </si>
  <si>
    <t>100R 0402 50V Chip Resistor</t>
  </si>
  <si>
    <t>5.1KOHMS ±5% 1/16W 0402 ROHS</t>
  </si>
  <si>
    <t>120 OHMS ±1% 1/10W 0603 ROHS</t>
  </si>
  <si>
    <t>10OHMS ±1% 1/8W 0805 ROHS</t>
  </si>
  <si>
    <t>22k 0402 62.5mW Thick Film Resistors 50V ±100ppm/℃ ±1% -55℃~+155℃ 22kΩ</t>
  </si>
  <si>
    <t>121k 0402 ±1% chip resistor</t>
  </si>
  <si>
    <t>13k3 13.3k 0402 ±1% chip resistor</t>
  </si>
  <si>
    <t>0R 0402 ±1% 50V Chip Resistor</t>
  </si>
  <si>
    <t>910k 0402 ±5% 50V chip resistor</t>
  </si>
  <si>
    <t>Botton SMD TACTILE SWITCHES ROHS</t>
  </si>
  <si>
    <t>STM32 ARM-based 32-bit MCU with 64 Kbytes Flash, 48-pin LQFP, Industrial Temperature</t>
  </si>
  <si>
    <t>W25Q80DVSNIG -40℃~+85℃ 100,000 Cycles 104MHz 10uA 2.7V~3.6V 20 Years 200ms@(64KB) 800us 8Mbit SPI SOIC-8 NOR FLASH ROHS</t>
  </si>
  <si>
    <t>TSSOP-8-3.0mm Real-time Clocks (RTC) ROHS</t>
  </si>
  <si>
    <t>5.5V 300mV @ 300mA - - Fixed 3.3V SOT-23-5 Linear Voltage Regulators (LDO) ROHS</t>
  </si>
  <si>
    <t>Transceiver USB 2.0 2Mbps MSOP-10 USB ICs RoHS</t>
  </si>
  <si>
    <t>SP3485EN-L/TR -40℃~+85℃ 1 1 10Mbps 2mA 3.3V 32 Half-Duplex Transceiver SOIC-8 RS-485 / RS-422 ICs ROHS</t>
  </si>
  <si>
    <t>TPS6104x Low-Power DC-DC Boost Converter in SOT-23 and WSON Packages</t>
  </si>
  <si>
    <t>10pF 8MHz Crystal Oscillator ±30ppm SMD3225-4P Crystals ROHS</t>
  </si>
  <si>
    <t>-40℃~+85℃ 12.5pF 32.768kHz 70kΩ Crystal Oscillator ±20ppm SMD3215-2P Crystals ROHS</t>
  </si>
  <si>
    <t>Assembly Type</t>
  </si>
  <si>
    <t>SMT Assembly</t>
  </si>
  <si>
    <t>AMT Assembly</t>
  </si>
  <si>
    <t>Package</t>
  </si>
  <si>
    <t>SMD</t>
  </si>
  <si>
    <t>0402</t>
  </si>
  <si>
    <t>0603</t>
  </si>
  <si>
    <t>SOT-23</t>
  </si>
  <si>
    <t>LED_0603</t>
  </si>
  <si>
    <t>SOD-123</t>
  </si>
  <si>
    <t>SOT-666-6</t>
  </si>
  <si>
    <t>SMD,P=0.5mm,卧贴</t>
  </si>
  <si>
    <t>SMD,P=1mm,卧贴</t>
  </si>
  <si>
    <t>SMD, P=2mm</t>
  </si>
  <si>
    <t>SMD-4_8.7x8.7x3.0</t>
  </si>
  <si>
    <t>SMD-4.2x4.4x2.0</t>
  </si>
  <si>
    <t>SOT-23-3</t>
  </si>
  <si>
    <t>0805</t>
  </si>
  <si>
    <t>SMD-4_6.0x6.0x4.5P-2</t>
  </si>
  <si>
    <t>LQFP-48_7.0x7.0x0.5P</t>
  </si>
  <si>
    <t>SOIC-8</t>
  </si>
  <si>
    <t>TSSOP-8-3.0mm</t>
  </si>
  <si>
    <t>SOT-23-5</t>
  </si>
  <si>
    <t>MSOP-10</t>
  </si>
  <si>
    <t>SMD3215-2P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</si>
</sst>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showGridLines="0" tabSelected="1" zoomScaleNormal="100" workbookViewId="0">
      <selection activeCell="D12" sqref="D12"/>
    </sheetView>
  </sheetViews>
  <sheetFormatPr defaultColWidth="8.85546875" defaultRowHeight="14.25"/>
  <cols>
    <col min="1" max="1" width="3.85546875" style="2" customWidth="1"/>
    <col min="2" max="2" width="19.85546875" style="2" bestFit="1" customWidth="1"/>
    <col min="3" max="3" width="8" style="2" customWidth="1"/>
    <col min="4" max="4" width="19.5703125" style="2" bestFit="1" customWidth="1"/>
    <col min="5" max="5" width="15.140625" style="2" customWidth="1"/>
    <col min="6" max="6" width="25.85546875" style="2" customWidth="1"/>
    <col min="7" max="7" width="28.5703125" style="2" bestFit="1" customWidth="1"/>
    <col min="8" max="8" width="8.140625" style="2" customWidth="1"/>
    <col min="9" max="9" width="22.140625" style="9" bestFit="1" customWidth="1"/>
    <col min="10" max="10" width="17.7109375" style="2" customWidth="1"/>
    <col min="11" max="11" width="18.85546875" style="2" hidden="1" customWidth="1"/>
    <col min="12" max="12" width="18.5703125" style="2" customWidth="1"/>
    <col min="13" max="16384" width="8.85546875" style="2"/>
  </cols>
  <sheetData>
    <row r="1" spans="1:12" ht="18">
      <c r="A1" s="11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5">
      <c r="A2" s="1" t="s">
        <v>1</v>
      </c>
      <c r="B2" s="1" t="s">
        <v>3</v>
      </c>
      <c r="C2" s="1" t="s">
        <v>49</v>
      </c>
      <c r="D2" s="1" t="s">
        <v>95</v>
      </c>
      <c r="E2" s="1" t="s">
        <v>125</v>
      </c>
      <c r="F2" s="1" t="s">
        <v>170</v>
      </c>
      <c r="G2" s="1" t="s">
        <v>197</v>
      </c>
      <c r="H2" s="1" t="s">
        <v>229</v>
      </c>
      <c r="I2" s="1" t="s">
        <v>230</v>
      </c>
      <c r="J2" s="1" t="s">
        <v>276</v>
      </c>
      <c r="K2" s="6" t="s">
        <v>279</v>
      </c>
      <c r="L2" s="1" t="s">
        <v>0</v>
      </c>
    </row>
    <row r="3" spans="1:12" ht="15.95" customHeight="1">
      <c r="A3" s="3">
        <f>ROW(A3)-ROW($A$2)</f>
        <v>1</v>
      </c>
      <c r="B3" s="3" t="s">
        <v>4</v>
      </c>
      <c r="C3" s="3" t="s">
        <v>50</v>
      </c>
      <c r="D3" s="3" t="s">
        <v>96</v>
      </c>
      <c r="E3" s="4" t="s">
        <v>126</v>
      </c>
      <c r="F3" s="4" t="s">
        <v>4</v>
      </c>
      <c r="G3" s="4" t="s">
        <v>198</v>
      </c>
      <c r="H3" s="4">
        <v>1</v>
      </c>
      <c r="I3" s="4" t="s">
        <v>231</v>
      </c>
      <c r="J3" s="4" t="s">
        <v>277</v>
      </c>
      <c r="K3" s="7" t="s">
        <v>280</v>
      </c>
      <c r="L3" s="4"/>
    </row>
    <row r="4" spans="1:12" ht="17.100000000000001" customHeight="1">
      <c r="A4" s="5">
        <f>ROW(A4)-ROW($A$2)</f>
        <v>2</v>
      </c>
      <c r="B4" s="5" t="s">
        <v>5</v>
      </c>
      <c r="C4" s="5" t="s">
        <v>51</v>
      </c>
      <c r="D4" s="5" t="s">
        <v>97</v>
      </c>
      <c r="E4" s="5" t="s">
        <v>127</v>
      </c>
      <c r="F4" s="5" t="s">
        <v>171</v>
      </c>
      <c r="G4" s="5" t="s">
        <v>199</v>
      </c>
      <c r="H4" s="5">
        <v>2</v>
      </c>
      <c r="I4" s="5" t="s">
        <v>232</v>
      </c>
      <c r="J4" s="5" t="s">
        <v>277</v>
      </c>
      <c r="K4" s="8" t="s">
        <v>281</v>
      </c>
      <c r="L4" s="5"/>
    </row>
    <row r="5" spans="1:12" ht="17.100000000000001" customHeight="1">
      <c r="A5" s="3">
        <f>ROW(A5)-ROW($A$2)</f>
        <v>3</v>
      </c>
      <c r="B5" s="3" t="s">
        <v>6</v>
      </c>
      <c r="C5" s="3" t="s">
        <v>52</v>
      </c>
      <c r="D5" s="3" t="s">
        <v>98</v>
      </c>
      <c r="E5" s="4" t="s">
        <v>128</v>
      </c>
      <c r="F5" s="4" t="s">
        <v>172</v>
      </c>
      <c r="G5" s="4" t="s">
        <v>200</v>
      </c>
      <c r="H5" s="4">
        <v>5</v>
      </c>
      <c r="I5" s="4" t="s">
        <v>233</v>
      </c>
      <c r="J5" s="4" t="s">
        <v>277</v>
      </c>
      <c r="K5" s="7" t="s">
        <v>282</v>
      </c>
      <c r="L5" s="4"/>
    </row>
    <row r="6" spans="1:12" ht="17.100000000000001" customHeight="1">
      <c r="A6" s="5">
        <f>ROW(A6)-ROW($A$2)</f>
        <v>4</v>
      </c>
      <c r="B6" s="5" t="s">
        <v>7</v>
      </c>
      <c r="C6" s="5" t="s">
        <v>53</v>
      </c>
      <c r="D6" s="5" t="s">
        <v>97</v>
      </c>
      <c r="E6" s="5" t="s">
        <v>129</v>
      </c>
      <c r="F6" s="5" t="s">
        <v>173</v>
      </c>
      <c r="G6" s="5" t="s">
        <v>201</v>
      </c>
      <c r="H6" s="5">
        <v>15</v>
      </c>
      <c r="I6" s="5" t="s">
        <v>234</v>
      </c>
      <c r="J6" s="5" t="s">
        <v>277</v>
      </c>
      <c r="K6" s="8" t="s">
        <v>281</v>
      </c>
      <c r="L6" s="5"/>
    </row>
    <row r="7" spans="1:12" ht="17.100000000000001" customHeight="1">
      <c r="A7" s="3">
        <f>ROW(A7)-ROW($A$2)</f>
        <v>5</v>
      </c>
      <c r="B7" s="3" t="s">
        <v>8</v>
      </c>
      <c r="C7" s="3" t="s">
        <v>54</v>
      </c>
      <c r="D7" s="3" t="s">
        <v>98</v>
      </c>
      <c r="E7" s="4" t="s">
        <v>130</v>
      </c>
      <c r="F7" s="4" t="s">
        <v>174</v>
      </c>
      <c r="G7" s="4" t="s">
        <v>200</v>
      </c>
      <c r="H7" s="4">
        <v>7</v>
      </c>
      <c r="I7" s="4" t="s">
        <v>235</v>
      </c>
      <c r="J7" s="4" t="s">
        <v>277</v>
      </c>
      <c r="K7" s="7" t="s">
        <v>282</v>
      </c>
      <c r="L7" s="4"/>
    </row>
    <row r="8" spans="1:12" ht="17.100000000000001" customHeight="1">
      <c r="A8" s="5">
        <f>ROW(A8)-ROW($A$2)</f>
        <v>6</v>
      </c>
      <c r="B8" s="5" t="s">
        <v>9</v>
      </c>
      <c r="C8" s="5" t="s">
        <v>55</v>
      </c>
      <c r="D8" s="5" t="s">
        <v>97</v>
      </c>
      <c r="E8" s="5" t="s">
        <v>131</v>
      </c>
      <c r="F8" s="5" t="s">
        <v>175</v>
      </c>
      <c r="G8" s="5" t="s">
        <v>201</v>
      </c>
      <c r="H8" s="5">
        <v>1</v>
      </c>
      <c r="I8" s="5" t="s">
        <v>236</v>
      </c>
      <c r="J8" s="5" t="s">
        <v>277</v>
      </c>
      <c r="K8" s="8" t="s">
        <v>281</v>
      </c>
      <c r="L8" s="5"/>
    </row>
    <row r="9" spans="1:12" ht="17.100000000000001" customHeight="1">
      <c r="A9" s="3">
        <f>ROW(A9)-ROW($A$2)</f>
        <v>7</v>
      </c>
      <c r="B9" s="3" t="s">
        <v>10</v>
      </c>
      <c r="C9" s="3" t="s">
        <v>56</v>
      </c>
      <c r="D9" s="3" t="s">
        <v>97</v>
      </c>
      <c r="E9" s="4" t="s">
        <v>132</v>
      </c>
      <c r="F9" s="4" t="s">
        <v>176</v>
      </c>
      <c r="G9" s="4" t="s">
        <v>201</v>
      </c>
      <c r="H9" s="4">
        <v>5</v>
      </c>
      <c r="I9" s="4" t="s">
        <v>237</v>
      </c>
      <c r="J9" s="4" t="s">
        <v>277</v>
      </c>
      <c r="K9" s="7" t="s">
        <v>281</v>
      </c>
      <c r="L9" s="4"/>
    </row>
    <row r="10" spans="1:12" ht="17.100000000000001" customHeight="1">
      <c r="A10" s="5">
        <f>ROW(A10)-ROW($A$2)</f>
        <v>8</v>
      </c>
      <c r="B10" s="5" t="s">
        <v>11</v>
      </c>
      <c r="C10" s="5" t="s">
        <v>57</v>
      </c>
      <c r="D10" s="5" t="s">
        <v>99</v>
      </c>
      <c r="E10" s="5" t="s">
        <v>133</v>
      </c>
      <c r="F10" s="5" t="s">
        <v>11</v>
      </c>
      <c r="G10" s="5" t="s">
        <v>202</v>
      </c>
      <c r="H10" s="5">
        <v>1</v>
      </c>
      <c r="I10" s="5" t="s">
        <v>238</v>
      </c>
      <c r="J10" s="5" t="s">
        <v>277</v>
      </c>
      <c r="K10" s="8" t="s">
        <v>283</v>
      </c>
      <c r="L10" s="5"/>
    </row>
    <row r="11" spans="1:12" ht="17.100000000000001" customHeight="1">
      <c r="A11" s="3">
        <f>ROW(A11)-ROW($A$2)</f>
        <v>9</v>
      </c>
      <c r="B11" s="3" t="s">
        <v>12</v>
      </c>
      <c r="C11" s="3" t="s">
        <v>58</v>
      </c>
      <c r="D11" s="3" t="s">
        <v>100</v>
      </c>
      <c r="E11" s="4" t="s">
        <v>134</v>
      </c>
      <c r="F11" s="4" t="s">
        <v>177</v>
      </c>
      <c r="G11" s="4" t="s">
        <v>203</v>
      </c>
      <c r="H11" s="4">
        <v>2</v>
      </c>
      <c r="I11" s="4" t="s">
        <v>239</v>
      </c>
      <c r="J11" s="4" t="s">
        <v>277</v>
      </c>
      <c r="K11" s="7" t="s">
        <v>284</v>
      </c>
      <c r="L11" s="4"/>
    </row>
    <row r="12" spans="1:12" ht="17.100000000000001" customHeight="1">
      <c r="A12" s="5">
        <f>ROW(A12)-ROW($A$2)</f>
        <v>10</v>
      </c>
      <c r="B12" s="5" t="s">
        <v>13</v>
      </c>
      <c r="C12" s="5" t="s">
        <v>59</v>
      </c>
      <c r="D12" s="5" t="s">
        <v>101</v>
      </c>
      <c r="E12" s="5" t="s">
        <v>135</v>
      </c>
      <c r="F12" s="5" t="s">
        <v>178</v>
      </c>
      <c r="G12" s="5" t="s">
        <v>203</v>
      </c>
      <c r="H12" s="5">
        <v>2</v>
      </c>
      <c r="I12" s="5" t="s">
        <v>240</v>
      </c>
      <c r="J12" s="5" t="s">
        <v>277</v>
      </c>
      <c r="K12" s="8" t="s">
        <v>284</v>
      </c>
      <c r="L12" s="5"/>
    </row>
    <row r="13" spans="1:12" ht="17.100000000000001" customHeight="1">
      <c r="A13" s="3">
        <f>ROW(A13)-ROW($A$2)</f>
        <v>11</v>
      </c>
      <c r="B13" s="3" t="s">
        <v>14</v>
      </c>
      <c r="C13" s="3" t="s">
        <v>60</v>
      </c>
      <c r="D13" s="3" t="s">
        <v>102</v>
      </c>
      <c r="E13" s="4" t="s">
        <v>136</v>
      </c>
      <c r="F13" s="4" t="s">
        <v>14</v>
      </c>
      <c r="G13" s="4" t="s">
        <v>204</v>
      </c>
      <c r="H13" s="4">
        <v>2</v>
      </c>
      <c r="I13" s="4" t="s">
        <v>241</v>
      </c>
      <c r="J13" s="4" t="s">
        <v>277</v>
      </c>
      <c r="K13" s="7" t="s">
        <v>285</v>
      </c>
      <c r="L13" s="4"/>
    </row>
    <row r="14" spans="1:12" ht="17.100000000000001" customHeight="1">
      <c r="A14" s="5">
        <f>ROW(A14)-ROW($A$2)</f>
        <v>12</v>
      </c>
      <c r="B14" s="5" t="s">
        <v>15</v>
      </c>
      <c r="C14" s="5" t="s">
        <v>61</v>
      </c>
      <c r="D14" s="5" t="s">
        <v>103</v>
      </c>
      <c r="E14" s="5" t="s">
        <v>137</v>
      </c>
      <c r="F14" s="5" t="s">
        <v>15</v>
      </c>
      <c r="G14" s="5" t="s">
        <v>205</v>
      </c>
      <c r="H14" s="5">
        <v>1</v>
      </c>
      <c r="I14" s="5" t="s">
        <v>242</v>
      </c>
      <c r="J14" s="5" t="s">
        <v>277</v>
      </c>
      <c r="K14" s="8" t="s">
        <v>286</v>
      </c>
      <c r="L14" s="5"/>
    </row>
    <row r="15" spans="1:12" ht="17.100000000000001" customHeight="1">
      <c r="A15" s="3">
        <f>ROW(A15)-ROW($A$2)</f>
        <v>13</v>
      </c>
      <c r="B15" s="3" t="s">
        <v>16</v>
      </c>
      <c r="C15" s="3" t="s">
        <v>62</v>
      </c>
      <c r="D15" s="3" t="s">
        <v>99</v>
      </c>
      <c r="E15" s="4" t="s">
        <v>138</v>
      </c>
      <c r="F15" s="4" t="s">
        <v>16</v>
      </c>
      <c r="G15" s="4" t="s">
        <v>206</v>
      </c>
      <c r="H15" s="4">
        <v>1</v>
      </c>
      <c r="I15" s="4" t="s">
        <v>243</v>
      </c>
      <c r="J15" s="4" t="s">
        <v>277</v>
      </c>
      <c r="K15" s="7" t="s">
        <v>99</v>
      </c>
      <c r="L15" s="4"/>
    </row>
    <row r="16" spans="1:12" ht="17.100000000000001" customHeight="1">
      <c r="A16" s="5">
        <f>ROW(A16)-ROW($A$2)</f>
        <v>14</v>
      </c>
      <c r="B16" s="5" t="s">
        <v>17</v>
      </c>
      <c r="C16" s="5" t="s">
        <v>63</v>
      </c>
      <c r="D16" s="5" t="s">
        <v>104</v>
      </c>
      <c r="E16" s="5" t="s">
        <v>139</v>
      </c>
      <c r="F16" s="5" t="s">
        <v>17</v>
      </c>
      <c r="G16" s="5" t="s">
        <v>207</v>
      </c>
      <c r="H16" s="5">
        <v>1</v>
      </c>
      <c r="I16" s="5" t="s">
        <v>244</v>
      </c>
      <c r="J16" s="5" t="s">
        <v>277</v>
      </c>
      <c r="K16" s="8" t="s">
        <v>282</v>
      </c>
      <c r="L16" s="5"/>
    </row>
    <row r="17" spans="1:12" ht="17.100000000000001" customHeight="1">
      <c r="A17" s="3">
        <f>ROW(A17)-ROW($A$2)</f>
        <v>15</v>
      </c>
      <c r="B17" s="3" t="s">
        <v>18</v>
      </c>
      <c r="C17" s="3" t="s">
        <v>64</v>
      </c>
      <c r="D17" s="3" t="s">
        <v>105</v>
      </c>
      <c r="E17" s="4" t="s">
        <v>140</v>
      </c>
      <c r="F17" s="4" t="s">
        <v>179</v>
      </c>
      <c r="G17" s="4" t="s">
        <v>208</v>
      </c>
      <c r="H17" s="4">
        <v>1</v>
      </c>
      <c r="I17" s="4" t="s">
        <v>245</v>
      </c>
      <c r="J17" s="4" t="s">
        <v>277</v>
      </c>
      <c r="K17" s="7" t="s">
        <v>280</v>
      </c>
      <c r="L17" s="4"/>
    </row>
    <row r="18" spans="1:12" ht="17.100000000000001" customHeight="1">
      <c r="A18" s="5">
        <f>ROW(A18)-ROW($A$2)</f>
        <v>16</v>
      </c>
      <c r="B18" s="5" t="s">
        <v>19</v>
      </c>
      <c r="C18" s="5" t="s">
        <v>65</v>
      </c>
      <c r="D18" s="5" t="s">
        <v>106</v>
      </c>
      <c r="E18" s="5" t="s">
        <v>141</v>
      </c>
      <c r="F18" s="5" t="s">
        <v>19</v>
      </c>
      <c r="G18" s="5" t="s">
        <v>209</v>
      </c>
      <c r="H18" s="5">
        <v>1</v>
      </c>
      <c r="I18" s="5" t="s">
        <v>246</v>
      </c>
      <c r="J18" s="5" t="s">
        <v>277</v>
      </c>
      <c r="K18" s="8" t="s">
        <v>287</v>
      </c>
      <c r="L18" s="5"/>
    </row>
    <row r="19" spans="1:12" ht="17.100000000000001" customHeight="1">
      <c r="A19" s="3">
        <f>ROW(A19)-ROW($A$2)</f>
        <v>17</v>
      </c>
      <c r="B19" s="3" t="s">
        <v>20</v>
      </c>
      <c r="C19" s="3" t="s">
        <v>66</v>
      </c>
      <c r="D19" s="3" t="s">
        <v>107</v>
      </c>
      <c r="E19" s="4" t="s">
        <v>142</v>
      </c>
      <c r="F19" s="4" t="s">
        <v>20</v>
      </c>
      <c r="G19" s="4" t="s">
        <v>210</v>
      </c>
      <c r="H19" s="4">
        <v>5</v>
      </c>
      <c r="I19" s="4" t="s">
        <v>247</v>
      </c>
      <c r="J19" s="4" t="s">
        <v>277</v>
      </c>
      <c r="K19" s="7" t="s">
        <v>288</v>
      </c>
      <c r="L19" s="4"/>
    </row>
    <row r="20" spans="1:12" ht="17.100000000000001" customHeight="1">
      <c r="A20" s="5">
        <f>ROW(A20)-ROW($A$2)</f>
        <v>18</v>
      </c>
      <c r="B20" s="5" t="s">
        <v>21</v>
      </c>
      <c r="C20" s="5" t="s">
        <v>67</v>
      </c>
      <c r="D20" s="5" t="s">
        <v>108</v>
      </c>
      <c r="E20" s="5" t="s">
        <v>143</v>
      </c>
      <c r="F20" s="5" t="s">
        <v>21</v>
      </c>
      <c r="G20" s="5" t="s">
        <v>211</v>
      </c>
      <c r="H20" s="5">
        <v>2</v>
      </c>
      <c r="I20" s="5" t="s">
        <v>248</v>
      </c>
      <c r="J20" s="5" t="s">
        <v>277</v>
      </c>
      <c r="K20" s="8" t="s">
        <v>289</v>
      </c>
      <c r="L20" s="5"/>
    </row>
    <row r="21" spans="1:12" ht="17.100000000000001" customHeight="1">
      <c r="A21" s="3">
        <f>ROW(A21)-ROW($A$2)</f>
        <v>19</v>
      </c>
      <c r="B21" s="3" t="s">
        <v>22</v>
      </c>
      <c r="C21" s="3" t="s">
        <v>68</v>
      </c>
      <c r="D21" s="3" t="s">
        <v>109</v>
      </c>
      <c r="E21" s="4" t="s">
        <v>144</v>
      </c>
      <c r="F21" s="4" t="s">
        <v>22</v>
      </c>
      <c r="G21" s="4" t="s">
        <v>212</v>
      </c>
      <c r="H21" s="4">
        <v>1</v>
      </c>
      <c r="I21" s="4" t="s">
        <v>249</v>
      </c>
      <c r="J21" s="4" t="s">
        <v>277</v>
      </c>
      <c r="K21" s="7" t="s">
        <v>290</v>
      </c>
      <c r="L21" s="4"/>
    </row>
    <row r="22" spans="1:12" ht="17.100000000000001" customHeight="1">
      <c r="A22" s="5">
        <f>ROW(A22)-ROW($A$2)</f>
        <v>20</v>
      </c>
      <c r="B22" s="5" t="s">
        <v>23</v>
      </c>
      <c r="C22" s="5" t="s">
        <v>69</v>
      </c>
      <c r="D22" s="5" t="s">
        <v>110</v>
      </c>
      <c r="E22" s="5" t="s">
        <v>145</v>
      </c>
      <c r="F22" s="5" t="s">
        <v>180</v>
      </c>
      <c r="G22" s="5" t="s">
        <v>213</v>
      </c>
      <c r="H22" s="5">
        <v>1</v>
      </c>
      <c r="I22" s="5" t="s">
        <v>250</v>
      </c>
      <c r="J22" s="5" t="s">
        <v>277</v>
      </c>
      <c r="K22" s="8" t="s">
        <v>291</v>
      </c>
      <c r="L22" s="5"/>
    </row>
    <row r="23" spans="1:12" ht="17.100000000000001" customHeight="1">
      <c r="A23" s="3">
        <f>ROW(A23)-ROW($A$2)</f>
        <v>21</v>
      </c>
      <c r="B23" s="3" t="s">
        <v>24</v>
      </c>
      <c r="C23" s="3" t="s">
        <v>70</v>
      </c>
      <c r="D23" s="3" t="s">
        <v>111</v>
      </c>
      <c r="E23" s="4" t="s">
        <v>146</v>
      </c>
      <c r="F23" s="4" t="s">
        <v>24</v>
      </c>
      <c r="G23" s="4" t="s">
        <v>214</v>
      </c>
      <c r="H23" s="4">
        <v>1</v>
      </c>
      <c r="I23" s="4" t="s">
        <v>251</v>
      </c>
      <c r="J23" s="4" t="s">
        <v>277</v>
      </c>
      <c r="K23" s="7" t="s">
        <v>292</v>
      </c>
      <c r="L23" s="4"/>
    </row>
    <row r="24" spans="1:12" ht="17.100000000000001" customHeight="1">
      <c r="A24" s="5">
        <f>ROW(A24)-ROW($A$2)</f>
        <v>22</v>
      </c>
      <c r="B24" s="5" t="s">
        <v>25</v>
      </c>
      <c r="C24" s="5" t="s">
        <v>71</v>
      </c>
      <c r="D24" s="5" t="s">
        <v>99</v>
      </c>
      <c r="E24" s="5" t="s">
        <v>147</v>
      </c>
      <c r="F24" s="5" t="s">
        <v>25</v>
      </c>
      <c r="G24" s="5" t="s">
        <v>215</v>
      </c>
      <c r="H24" s="5">
        <v>2</v>
      </c>
      <c r="I24" s="5" t="s">
        <v>252</v>
      </c>
      <c r="J24" s="5" t="s">
        <v>277</v>
      </c>
      <c r="K24" s="8" t="s">
        <v>292</v>
      </c>
      <c r="L24" s="5"/>
    </row>
    <row r="25" spans="1:12" ht="17.100000000000001" customHeight="1">
      <c r="A25" s="3">
        <f>ROW(A25)-ROW($A$2)</f>
        <v>23</v>
      </c>
      <c r="B25" s="3" t="s">
        <v>26</v>
      </c>
      <c r="C25" s="3" t="s">
        <v>72</v>
      </c>
      <c r="D25" s="3" t="s">
        <v>112</v>
      </c>
      <c r="E25" s="4" t="s">
        <v>148</v>
      </c>
      <c r="F25" s="4" t="s">
        <v>181</v>
      </c>
      <c r="G25" s="4" t="s">
        <v>216</v>
      </c>
      <c r="H25" s="4">
        <v>13</v>
      </c>
      <c r="I25" s="4" t="s">
        <v>253</v>
      </c>
      <c r="J25" s="4" t="s">
        <v>277</v>
      </c>
      <c r="K25" s="7" t="s">
        <v>281</v>
      </c>
      <c r="L25" s="4"/>
    </row>
    <row r="26" spans="1:12" ht="17.100000000000001" customHeight="1">
      <c r="A26" s="5">
        <f>ROW(A26)-ROW($A$2)</f>
        <v>24</v>
      </c>
      <c r="B26" s="5" t="s">
        <v>27</v>
      </c>
      <c r="C26" s="5" t="s">
        <v>73</v>
      </c>
      <c r="D26" s="5" t="s">
        <v>112</v>
      </c>
      <c r="E26" s="5" t="s">
        <v>149</v>
      </c>
      <c r="F26" s="5" t="s">
        <v>182</v>
      </c>
      <c r="G26" s="5" t="s">
        <v>216</v>
      </c>
      <c r="H26" s="5">
        <v>1</v>
      </c>
      <c r="I26" s="5" t="s">
        <v>254</v>
      </c>
      <c r="J26" s="5" t="s">
        <v>277</v>
      </c>
      <c r="K26" s="8" t="s">
        <v>281</v>
      </c>
      <c r="L26" s="5"/>
    </row>
    <row r="27" spans="1:12" ht="17.100000000000001" customHeight="1">
      <c r="A27" s="3">
        <f>ROW(A27)-ROW($A$2)</f>
        <v>25</v>
      </c>
      <c r="B27" s="3" t="s">
        <v>28</v>
      </c>
      <c r="C27" s="3" t="s">
        <v>74</v>
      </c>
      <c r="D27" s="3" t="s">
        <v>113</v>
      </c>
      <c r="E27" s="4" t="s">
        <v>150</v>
      </c>
      <c r="F27" s="4" t="s">
        <v>183</v>
      </c>
      <c r="G27" s="4" t="s">
        <v>216</v>
      </c>
      <c r="H27" s="4">
        <v>1</v>
      </c>
      <c r="I27" s="4" t="s">
        <v>255</v>
      </c>
      <c r="J27" s="4" t="s">
        <v>277</v>
      </c>
      <c r="K27" s="7" t="s">
        <v>282</v>
      </c>
      <c r="L27" s="4"/>
    </row>
    <row r="28" spans="1:12" ht="17.100000000000001" customHeight="1">
      <c r="A28" s="5">
        <f>ROW(A28)-ROW($A$2)</f>
        <v>26</v>
      </c>
      <c r="B28" s="5" t="s">
        <v>29</v>
      </c>
      <c r="C28" s="5" t="s">
        <v>75</v>
      </c>
      <c r="D28" s="5" t="s">
        <v>112</v>
      </c>
      <c r="E28" s="5" t="s">
        <v>151</v>
      </c>
      <c r="F28" s="5" t="s">
        <v>184</v>
      </c>
      <c r="G28" s="5" t="s">
        <v>216</v>
      </c>
      <c r="H28" s="5">
        <v>7</v>
      </c>
      <c r="I28" s="5" t="s">
        <v>256</v>
      </c>
      <c r="J28" s="5" t="s">
        <v>277</v>
      </c>
      <c r="K28" s="8" t="s">
        <v>281</v>
      </c>
      <c r="L28" s="5"/>
    </row>
    <row r="29" spans="1:12" ht="17.100000000000001" customHeight="1">
      <c r="A29" s="3">
        <f>ROW(A29)-ROW($A$2)</f>
        <v>27</v>
      </c>
      <c r="B29" s="3" t="s">
        <v>30</v>
      </c>
      <c r="C29" s="3" t="s">
        <v>76</v>
      </c>
      <c r="D29" s="3" t="s">
        <v>112</v>
      </c>
      <c r="E29" s="4" t="s">
        <v>152</v>
      </c>
      <c r="F29" s="4" t="s">
        <v>185</v>
      </c>
      <c r="G29" s="4" t="s">
        <v>216</v>
      </c>
      <c r="H29" s="4">
        <v>4</v>
      </c>
      <c r="I29" s="4" t="s">
        <v>257</v>
      </c>
      <c r="J29" s="4" t="s">
        <v>277</v>
      </c>
      <c r="K29" s="7" t="s">
        <v>281</v>
      </c>
      <c r="L29" s="4"/>
    </row>
    <row r="30" spans="1:12" ht="17.100000000000001" customHeight="1">
      <c r="A30" s="5">
        <f>ROW(A30)-ROW($A$2)</f>
        <v>28</v>
      </c>
      <c r="B30" s="5" t="s">
        <v>31</v>
      </c>
      <c r="C30" s="5" t="s">
        <v>77</v>
      </c>
      <c r="D30" s="5" t="s">
        <v>112</v>
      </c>
      <c r="E30" s="5" t="s">
        <v>153</v>
      </c>
      <c r="F30" s="5" t="s">
        <v>186</v>
      </c>
      <c r="G30" s="5" t="s">
        <v>216</v>
      </c>
      <c r="H30" s="5">
        <v>2</v>
      </c>
      <c r="I30" s="5" t="s">
        <v>258</v>
      </c>
      <c r="J30" s="5" t="s">
        <v>277</v>
      </c>
      <c r="K30" s="8" t="s">
        <v>281</v>
      </c>
      <c r="L30" s="5"/>
    </row>
    <row r="31" spans="1:12" ht="17.100000000000001" customHeight="1">
      <c r="A31" s="3">
        <f>ROW(A31)-ROW($A$2)</f>
        <v>29</v>
      </c>
      <c r="B31" s="3" t="s">
        <v>32</v>
      </c>
      <c r="C31" s="3" t="s">
        <v>78</v>
      </c>
      <c r="D31" s="3" t="s">
        <v>113</v>
      </c>
      <c r="E31" s="4" t="s">
        <v>154</v>
      </c>
      <c r="F31" s="4" t="s">
        <v>187</v>
      </c>
      <c r="G31" s="4" t="s">
        <v>217</v>
      </c>
      <c r="H31" s="4">
        <v>1</v>
      </c>
      <c r="I31" s="4" t="s">
        <v>259</v>
      </c>
      <c r="J31" s="4" t="s">
        <v>277</v>
      </c>
      <c r="K31" s="7" t="s">
        <v>282</v>
      </c>
      <c r="L31" s="4"/>
    </row>
    <row r="32" spans="1:12" ht="17.100000000000001" customHeight="1">
      <c r="A32" s="5">
        <f>ROW(A32)-ROW($A$2)</f>
        <v>30</v>
      </c>
      <c r="B32" s="5" t="s">
        <v>33</v>
      </c>
      <c r="C32" s="5" t="s">
        <v>79</v>
      </c>
      <c r="D32" s="5" t="s">
        <v>114</v>
      </c>
      <c r="E32" s="5" t="s">
        <v>155</v>
      </c>
      <c r="F32" s="5" t="s">
        <v>188</v>
      </c>
      <c r="G32" s="5" t="s">
        <v>216</v>
      </c>
      <c r="H32" s="5">
        <v>2</v>
      </c>
      <c r="I32" s="5" t="s">
        <v>260</v>
      </c>
      <c r="J32" s="5" t="s">
        <v>277</v>
      </c>
      <c r="K32" s="8" t="s">
        <v>293</v>
      </c>
      <c r="L32" s="5"/>
    </row>
    <row r="33" spans="1:12" ht="17.100000000000001" customHeight="1">
      <c r="A33" s="3">
        <f>ROW(A33)-ROW($A$2)</f>
        <v>31</v>
      </c>
      <c r="B33" s="3" t="s">
        <v>34</v>
      </c>
      <c r="C33" s="3" t="s">
        <v>80</v>
      </c>
      <c r="D33" s="3" t="s">
        <v>112</v>
      </c>
      <c r="E33" s="4" t="s">
        <v>156</v>
      </c>
      <c r="F33" s="4" t="s">
        <v>189</v>
      </c>
      <c r="G33" s="4" t="s">
        <v>216</v>
      </c>
      <c r="H33" s="4">
        <v>2</v>
      </c>
      <c r="I33" s="4" t="s">
        <v>261</v>
      </c>
      <c r="J33" s="4" t="s">
        <v>277</v>
      </c>
      <c r="K33" s="7" t="s">
        <v>281</v>
      </c>
      <c r="L33" s="4"/>
    </row>
    <row r="34" spans="1:12" ht="17.100000000000001" customHeight="1">
      <c r="A34" s="5">
        <f>ROW(A34)-ROW($A$2)</f>
        <v>32</v>
      </c>
      <c r="B34" s="5" t="s">
        <v>35</v>
      </c>
      <c r="C34" s="5" t="s">
        <v>81</v>
      </c>
      <c r="D34" s="5" t="s">
        <v>112</v>
      </c>
      <c r="E34" s="5" t="s">
        <v>157</v>
      </c>
      <c r="F34" s="5" t="s">
        <v>190</v>
      </c>
      <c r="G34" s="5" t="s">
        <v>216</v>
      </c>
      <c r="H34" s="5">
        <v>1</v>
      </c>
      <c r="I34" s="5" t="s">
        <v>262</v>
      </c>
      <c r="J34" s="5" t="s">
        <v>277</v>
      </c>
      <c r="K34" s="8" t="s">
        <v>281</v>
      </c>
      <c r="L34" s="5"/>
    </row>
    <row r="35" spans="1:12" ht="17.100000000000001" customHeight="1">
      <c r="A35" s="3">
        <f>ROW(A35)-ROW($A$2)</f>
        <v>33</v>
      </c>
      <c r="B35" s="3" t="s">
        <v>36</v>
      </c>
      <c r="C35" s="3" t="s">
        <v>82</v>
      </c>
      <c r="D35" s="3" t="s">
        <v>112</v>
      </c>
      <c r="E35" s="4" t="s">
        <v>158</v>
      </c>
      <c r="F35" s="4" t="s">
        <v>191</v>
      </c>
      <c r="G35" s="4" t="s">
        <v>218</v>
      </c>
      <c r="H35" s="4">
        <v>1</v>
      </c>
      <c r="I35" s="4" t="s">
        <v>263</v>
      </c>
      <c r="J35" s="4" t="s">
        <v>277</v>
      </c>
      <c r="K35" s="7" t="s">
        <v>281</v>
      </c>
      <c r="L35" s="4"/>
    </row>
    <row r="36" spans="1:12" ht="17.100000000000001" customHeight="1">
      <c r="A36" s="5">
        <f>ROW(A36)-ROW($A$2)</f>
        <v>34</v>
      </c>
      <c r="B36" s="5" t="s">
        <v>37</v>
      </c>
      <c r="C36" s="5" t="s">
        <v>83</v>
      </c>
      <c r="D36" s="5" t="s">
        <v>112</v>
      </c>
      <c r="E36" s="5" t="s">
        <v>159</v>
      </c>
      <c r="F36" s="5" t="s">
        <v>192</v>
      </c>
      <c r="G36" s="5" t="s">
        <v>216</v>
      </c>
      <c r="H36" s="5">
        <v>3</v>
      </c>
      <c r="I36" s="5" t="s">
        <v>264</v>
      </c>
      <c r="J36" s="5" t="s">
        <v>277</v>
      </c>
      <c r="K36" s="8" t="s">
        <v>281</v>
      </c>
      <c r="L36" s="5"/>
    </row>
    <row r="37" spans="1:12" ht="17.100000000000001" customHeight="1">
      <c r="A37" s="3">
        <f>ROW(A37)-ROW($A$2)</f>
        <v>35</v>
      </c>
      <c r="B37" s="3" t="s">
        <v>38</v>
      </c>
      <c r="C37" s="3" t="s">
        <v>84</v>
      </c>
      <c r="D37" s="3" t="s">
        <v>112</v>
      </c>
      <c r="E37" s="4" t="s">
        <v>160</v>
      </c>
      <c r="F37" s="4" t="s">
        <v>193</v>
      </c>
      <c r="G37" s="4" t="s">
        <v>218</v>
      </c>
      <c r="H37" s="4">
        <v>1</v>
      </c>
      <c r="I37" s="4" t="s">
        <v>265</v>
      </c>
      <c r="J37" s="4" t="s">
        <v>277</v>
      </c>
      <c r="K37" s="7" t="s">
        <v>281</v>
      </c>
      <c r="L37" s="4"/>
    </row>
    <row r="38" spans="1:12" ht="17.100000000000001" customHeight="1">
      <c r="A38" s="5">
        <f>ROW(A38)-ROW($A$2)</f>
        <v>36</v>
      </c>
      <c r="B38" s="5" t="s">
        <v>39</v>
      </c>
      <c r="C38" s="5" t="s">
        <v>85</v>
      </c>
      <c r="D38" s="5" t="s">
        <v>115</v>
      </c>
      <c r="E38" s="5" t="s">
        <v>161</v>
      </c>
      <c r="F38" s="5" t="s">
        <v>194</v>
      </c>
      <c r="G38" s="5" t="s">
        <v>219</v>
      </c>
      <c r="H38" s="5">
        <v>4</v>
      </c>
      <c r="I38" s="5" t="s">
        <v>266</v>
      </c>
      <c r="J38" s="5" t="s">
        <v>277</v>
      </c>
      <c r="K38" s="8" t="s">
        <v>294</v>
      </c>
      <c r="L38" s="5"/>
    </row>
    <row r="39" spans="1:12" ht="17.100000000000001" customHeight="1">
      <c r="A39" s="3">
        <f>ROW(A39)-ROW($A$2)</f>
        <v>37</v>
      </c>
      <c r="B39" s="3" t="s">
        <v>40</v>
      </c>
      <c r="C39" s="3" t="s">
        <v>86</v>
      </c>
      <c r="D39" s="3" t="s">
        <v>116</v>
      </c>
      <c r="E39" s="4" t="s">
        <v>162</v>
      </c>
      <c r="F39" s="4" t="s">
        <v>40</v>
      </c>
      <c r="G39" s="4" t="s">
        <v>220</v>
      </c>
      <c r="H39" s="4">
        <v>1</v>
      </c>
      <c r="I39" s="4" t="s">
        <v>267</v>
      </c>
      <c r="J39" s="4" t="s">
        <v>277</v>
      </c>
      <c r="K39" s="7" t="s">
        <v>295</v>
      </c>
      <c r="L39" s="4"/>
    </row>
    <row r="40" spans="1:12" ht="17.100000000000001" customHeight="1">
      <c r="A40" s="5">
        <f>ROW(A40)-ROW($A$2)</f>
        <v>38</v>
      </c>
      <c r="B40" s="5" t="s">
        <v>41</v>
      </c>
      <c r="C40" s="5" t="s">
        <v>87</v>
      </c>
      <c r="D40" s="5" t="s">
        <v>117</v>
      </c>
      <c r="E40" s="5" t="s">
        <v>163</v>
      </c>
      <c r="F40" s="5" t="s">
        <v>41</v>
      </c>
      <c r="G40" s="5" t="s">
        <v>221</v>
      </c>
      <c r="H40" s="5">
        <v>1</v>
      </c>
      <c r="I40" s="5" t="s">
        <v>268</v>
      </c>
      <c r="J40" s="5" t="s">
        <v>277</v>
      </c>
      <c r="K40" s="8" t="s">
        <v>296</v>
      </c>
      <c r="L40" s="5"/>
    </row>
    <row r="41" spans="1:12" ht="17.100000000000001" customHeight="1">
      <c r="A41" s="3">
        <f>ROW(A41)-ROW($A$2)</f>
        <v>39</v>
      </c>
      <c r="B41" s="3" t="s">
        <v>42</v>
      </c>
      <c r="C41" s="3" t="s">
        <v>88</v>
      </c>
      <c r="D41" s="3" t="s">
        <v>118</v>
      </c>
      <c r="E41" s="4" t="s">
        <v>164</v>
      </c>
      <c r="F41" s="4" t="s">
        <v>42</v>
      </c>
      <c r="G41" s="4" t="s">
        <v>222</v>
      </c>
      <c r="H41" s="4">
        <v>1</v>
      </c>
      <c r="I41" s="4" t="s">
        <v>269</v>
      </c>
      <c r="J41" s="4" t="s">
        <v>278</v>
      </c>
      <c r="K41" s="7" t="s">
        <v>297</v>
      </c>
      <c r="L41" s="4"/>
    </row>
    <row r="42" spans="1:12" ht="17.100000000000001" customHeight="1">
      <c r="A42" s="5">
        <f>ROW(A42)-ROW($A$2)</f>
        <v>40</v>
      </c>
      <c r="B42" s="5" t="s">
        <v>43</v>
      </c>
      <c r="C42" s="5" t="s">
        <v>89</v>
      </c>
      <c r="D42" s="5" t="s">
        <v>119</v>
      </c>
      <c r="E42" s="5" t="s">
        <v>165</v>
      </c>
      <c r="F42" s="5" t="s">
        <v>43</v>
      </c>
      <c r="G42" s="5" t="s">
        <v>223</v>
      </c>
      <c r="H42" s="5">
        <v>1</v>
      </c>
      <c r="I42" s="5" t="s">
        <v>270</v>
      </c>
      <c r="J42" s="5" t="s">
        <v>277</v>
      </c>
      <c r="K42" s="8" t="s">
        <v>298</v>
      </c>
      <c r="L42" s="5"/>
    </row>
    <row r="43" spans="1:12" ht="17.100000000000001" customHeight="1">
      <c r="A43" s="3">
        <f>ROW(A43)-ROW($A$2)</f>
        <v>41</v>
      </c>
      <c r="B43" s="3" t="s">
        <v>44</v>
      </c>
      <c r="C43" s="3" t="s">
        <v>90</v>
      </c>
      <c r="D43" s="3" t="s">
        <v>120</v>
      </c>
      <c r="E43" s="4"/>
      <c r="F43" s="4"/>
      <c r="G43" s="4" t="s">
        <v>224</v>
      </c>
      <c r="H43" s="4">
        <v>1</v>
      </c>
      <c r="I43" s="4" t="s">
        <v>271</v>
      </c>
      <c r="J43" s="4" t="s">
        <v>277</v>
      </c>
      <c r="K43" s="7" t="s">
        <v>299</v>
      </c>
      <c r="L43" s="4"/>
    </row>
    <row r="44" spans="1:12" ht="17.100000000000001" customHeight="1">
      <c r="A44" s="5">
        <f>ROW(A44)-ROW($A$2)</f>
        <v>42</v>
      </c>
      <c r="B44" s="5" t="s">
        <v>45</v>
      </c>
      <c r="C44" s="5" t="s">
        <v>91</v>
      </c>
      <c r="D44" s="5" t="s">
        <v>121</v>
      </c>
      <c r="E44" s="5" t="s">
        <v>166</v>
      </c>
      <c r="F44" s="5" t="s">
        <v>45</v>
      </c>
      <c r="G44" s="5" t="s">
        <v>225</v>
      </c>
      <c r="H44" s="5">
        <v>1</v>
      </c>
      <c r="I44" s="5" t="s">
        <v>272</v>
      </c>
      <c r="J44" s="5" t="s">
        <v>277</v>
      </c>
      <c r="K44" s="8" t="s">
        <v>121</v>
      </c>
      <c r="L44" s="5"/>
    </row>
    <row r="45" spans="1:12" ht="17.100000000000001" customHeight="1">
      <c r="A45" s="3">
        <f>ROW(A45)-ROW($A$2)</f>
        <v>43</v>
      </c>
      <c r="B45" s="3" t="s">
        <v>46</v>
      </c>
      <c r="C45" s="3" t="s">
        <v>92</v>
      </c>
      <c r="D45" s="3" t="s">
        <v>122</v>
      </c>
      <c r="E45" s="4" t="s">
        <v>167</v>
      </c>
      <c r="F45" s="4" t="s">
        <v>46</v>
      </c>
      <c r="G45" s="4" t="s">
        <v>226</v>
      </c>
      <c r="H45" s="4">
        <v>1</v>
      </c>
      <c r="I45" s="4" t="s">
        <v>273</v>
      </c>
      <c r="J45" s="4" t="s">
        <v>277</v>
      </c>
      <c r="K45" s="7" t="s">
        <v>298</v>
      </c>
      <c r="L45" s="4"/>
    </row>
    <row r="46" spans="1:12" ht="17.100000000000001" customHeight="1">
      <c r="A46" s="5">
        <f>ROW(A46)-ROW($A$2)</f>
        <v>44</v>
      </c>
      <c r="B46" s="5" t="s">
        <v>47</v>
      </c>
      <c r="C46" s="5" t="s">
        <v>93</v>
      </c>
      <c r="D46" s="5" t="s">
        <v>123</v>
      </c>
      <c r="E46" s="5" t="s">
        <v>168</v>
      </c>
      <c r="F46" s="5" t="s">
        <v>195</v>
      </c>
      <c r="G46" s="5" t="s">
        <v>227</v>
      </c>
      <c r="H46" s="5">
        <v>1</v>
      </c>
      <c r="I46" s="5" t="s">
        <v>274</v>
      </c>
      <c r="J46" s="5" t="s">
        <v>277</v>
      </c>
      <c r="K46" s="8" t="s">
        <v>123</v>
      </c>
      <c r="L46" s="5"/>
    </row>
    <row r="47" spans="1:12">
      <c r="A47" s="3">
        <f>ROW(A47)-ROW($A$2)</f>
        <v>45</v>
      </c>
      <c r="B47" s="3" t="s">
        <v>48</v>
      </c>
      <c r="C47" s="3" t="s">
        <v>94</v>
      </c>
      <c r="D47" s="3" t="s">
        <v>124</v>
      </c>
      <c r="E47" s="4" t="s">
        <v>169</v>
      </c>
      <c r="F47" s="4" t="s">
        <v>196</v>
      </c>
      <c r="G47" s="4" t="s">
        <v>228</v>
      </c>
      <c r="H47" s="4">
        <v>1</v>
      </c>
      <c r="I47" s="4" t="s">
        <v>275</v>
      </c>
      <c r="J47" s="4" t="s">
        <v>277</v>
      </c>
      <c r="K47" s="7" t="s">
        <v>300</v>
      </c>
      <c r="L47" s="4"/>
    </row>
    <row r="49" ht="12.75" customHeight="1"/>
  </sheetData>
  <autoFilter ref="A2:L47"/>
  <mergeCells count="1">
    <mergeCell ref="A1:L1"/>
  </mergeCells>
  <conditionalFormatting sqref="K3">
    <cfRule type="containsText" dxfId="23" priority="28" operator="containsText" text="Yes">
      <formula>NOT(ISERROR(SEARCH("Yes",K3)))</formula>
    </cfRule>
  </conditionalFormatting>
  <conditionalFormatting sqref="K5">
    <cfRule type="containsText" dxfId="21" priority="22" operator="containsText" text="Yes">
      <formula>NOT(ISERROR(SEARCH("Yes",K5)))</formula>
    </cfRule>
  </conditionalFormatting>
  <conditionalFormatting sqref="K7">
    <cfRule type="containsText" dxfId="20" priority="21" operator="containsText" text="Yes">
      <formula>NOT(ISERROR(SEARCH("Yes",K7)))</formula>
    </cfRule>
  </conditionalFormatting>
  <conditionalFormatting sqref="K9">
    <cfRule type="containsText" dxfId="19" priority="20" operator="containsText" text="Yes">
      <formula>NOT(ISERROR(SEARCH("Yes",K9)))</formula>
    </cfRule>
  </conditionalFormatting>
  <conditionalFormatting sqref="K11">
    <cfRule type="containsText" dxfId="18" priority="19" operator="containsText" text="Yes">
      <formula>NOT(ISERROR(SEARCH("Yes",K11)))</formula>
    </cfRule>
  </conditionalFormatting>
  <conditionalFormatting sqref="K13">
    <cfRule type="containsText" dxfId="17" priority="18" operator="containsText" text="Yes">
      <formula>NOT(ISERROR(SEARCH("Yes",K13)))</formula>
    </cfRule>
  </conditionalFormatting>
  <conditionalFormatting sqref="K15">
    <cfRule type="containsText" dxfId="16" priority="17" operator="containsText" text="Yes">
      <formula>NOT(ISERROR(SEARCH("Yes",K15)))</formula>
    </cfRule>
  </conditionalFormatting>
  <conditionalFormatting sqref="K17">
    <cfRule type="containsText" dxfId="15" priority="16" operator="containsText" text="Yes">
      <formula>NOT(ISERROR(SEARCH("Yes",K17)))</formula>
    </cfRule>
  </conditionalFormatting>
  <conditionalFormatting sqref="K19">
    <cfRule type="containsText" dxfId="14" priority="15" operator="containsText" text="Yes">
      <formula>NOT(ISERROR(SEARCH("Yes",K19)))</formula>
    </cfRule>
  </conditionalFormatting>
  <conditionalFormatting sqref="K21">
    <cfRule type="containsText" dxfId="13" priority="14" operator="containsText" text="Yes">
      <formula>NOT(ISERROR(SEARCH("Yes",K21)))</formula>
    </cfRule>
  </conditionalFormatting>
  <conditionalFormatting sqref="K23">
    <cfRule type="containsText" dxfId="12" priority="13" operator="containsText" text="Yes">
      <formula>NOT(ISERROR(SEARCH("Yes",K23)))</formula>
    </cfRule>
  </conditionalFormatting>
  <conditionalFormatting sqref="K25">
    <cfRule type="containsText" dxfId="11" priority="12" operator="containsText" text="Yes">
      <formula>NOT(ISERROR(SEARCH("Yes",K25)))</formula>
    </cfRule>
  </conditionalFormatting>
  <conditionalFormatting sqref="K27">
    <cfRule type="containsText" dxfId="10" priority="11" operator="containsText" text="Yes">
      <formula>NOT(ISERROR(SEARCH("Yes",K27)))</formula>
    </cfRule>
  </conditionalFormatting>
  <conditionalFormatting sqref="K29">
    <cfRule type="containsText" dxfId="9" priority="10" operator="containsText" text="Yes">
      <formula>NOT(ISERROR(SEARCH("Yes",K29)))</formula>
    </cfRule>
  </conditionalFormatting>
  <conditionalFormatting sqref="K31">
    <cfRule type="containsText" dxfId="8" priority="9" operator="containsText" text="Yes">
      <formula>NOT(ISERROR(SEARCH("Yes",K31)))</formula>
    </cfRule>
  </conditionalFormatting>
  <conditionalFormatting sqref="K33">
    <cfRule type="containsText" dxfId="7" priority="8" operator="containsText" text="Yes">
      <formula>NOT(ISERROR(SEARCH("Yes",K33)))</formula>
    </cfRule>
  </conditionalFormatting>
  <conditionalFormatting sqref="K35">
    <cfRule type="containsText" dxfId="6" priority="7" operator="containsText" text="Yes">
      <formula>NOT(ISERROR(SEARCH("Yes",K35)))</formula>
    </cfRule>
  </conditionalFormatting>
  <conditionalFormatting sqref="K37">
    <cfRule type="containsText" dxfId="5" priority="6" operator="containsText" text="Yes">
      <formula>NOT(ISERROR(SEARCH("Yes",K37)))</formula>
    </cfRule>
  </conditionalFormatting>
  <conditionalFormatting sqref="K39">
    <cfRule type="containsText" dxfId="4" priority="5" operator="containsText" text="Yes">
      <formula>NOT(ISERROR(SEARCH("Yes",K39)))</formula>
    </cfRule>
  </conditionalFormatting>
  <conditionalFormatting sqref="K41">
    <cfRule type="containsText" dxfId="3" priority="4" operator="containsText" text="Yes">
      <formula>NOT(ISERROR(SEARCH("Yes",K41)))</formula>
    </cfRule>
  </conditionalFormatting>
  <conditionalFormatting sqref="K43">
    <cfRule type="containsText" dxfId="2" priority="3" operator="containsText" text="Yes">
      <formula>NOT(ISERROR(SEARCH("Yes",K43)))</formula>
    </cfRule>
  </conditionalFormatting>
  <conditionalFormatting sqref="K45">
    <cfRule type="containsText" dxfId="1" priority="2" operator="containsText" text="Yes">
      <formula>NOT(ISERROR(SEARCH("Yes",K45)))</formula>
    </cfRule>
  </conditionalFormatting>
  <conditionalFormatting sqref="K47">
    <cfRule type="containsText" dxfId="0" priority="1" operator="containsText" text="Yes">
      <formula>NOT(ISERROR(SEARCH("Yes",K47)))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Anh Hoang Anh</cp:lastModifiedBy>
  <dcterms:created xsi:type="dcterms:W3CDTF">2019-07-31T07:14:21Z</dcterms:created>
  <dcterms:modified xsi:type="dcterms:W3CDTF">2026-03-10T04:05:23Z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